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vieux\OUTILSDEGESTIONETDESOUTIEN\ProjetGravite\"/>
    </mc:Choice>
  </mc:AlternateContent>
  <xr:revisionPtr revIDLastSave="0" documentId="13_ncr:1_{66B918E5-1D62-4C53-9B66-C3C1264EE840}" xr6:coauthVersionLast="47" xr6:coauthVersionMax="47" xr10:uidLastSave="{00000000-0000-0000-0000-000000000000}"/>
  <bookViews>
    <workbookView xWindow="-120" yWindow="480" windowWidth="29040" windowHeight="15840" xr2:uid="{92BB6A45-9C83-4B56-AF91-44164CDE1647}"/>
  </bookViews>
  <sheets>
    <sheet name="Caculs" sheetId="2" r:id="rId1"/>
    <sheet name="Donnes et tableau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7" i="1" l="1"/>
  <c r="P28" i="1"/>
</calcChain>
</file>

<file path=xl/sharedStrings.xml><?xml version="1.0" encoding="utf-8"?>
<sst xmlns="http://schemas.openxmlformats.org/spreadsheetml/2006/main" count="165" uniqueCount="59">
  <si>
    <t>volume</t>
  </si>
  <si>
    <t>masse totale</t>
  </si>
  <si>
    <t>t</t>
  </si>
  <si>
    <t>m</t>
  </si>
  <si>
    <t>p</t>
  </si>
  <si>
    <t>v</t>
  </si>
  <si>
    <t>s</t>
  </si>
  <si>
    <t>r</t>
  </si>
  <si>
    <t>λ</t>
  </si>
  <si>
    <t>ω</t>
  </si>
  <si>
    <t>-</t>
  </si>
  <si>
    <t>gramme</t>
  </si>
  <si>
    <t>mètre/seconde</t>
  </si>
  <si>
    <t>mètre</t>
  </si>
  <si>
    <t>gramme/mètre</t>
  </si>
  <si>
    <t>CONDITIONS INITIALES DE LA SIMULATION</t>
  </si>
  <si>
    <t>PARAMÈTRES GÉNÉRAUX</t>
  </si>
  <si>
    <t>Base de temps</t>
  </si>
  <si>
    <t>Seconde</t>
  </si>
  <si>
    <t>Coefficient de friction</t>
  </si>
  <si>
    <t>ϝ</t>
  </si>
  <si>
    <t>Ratio de la constante d'Aaserth</t>
  </si>
  <si>
    <t>CORPS EN MOUVEMENT</t>
  </si>
  <si>
    <t>Masse</t>
  </si>
  <si>
    <t>Position Initiale</t>
  </si>
  <si>
    <r>
      <t>p</t>
    </r>
    <r>
      <rPr>
        <sz val="9"/>
        <color theme="0"/>
        <rFont val="Calibri"/>
        <family val="2"/>
        <scheme val="minor"/>
      </rPr>
      <t xml:space="preserve"> x,y</t>
    </r>
  </si>
  <si>
    <t>0         0</t>
  </si>
  <si>
    <t>Vitesse Initiale</t>
  </si>
  <si>
    <r>
      <t xml:space="preserve">v </t>
    </r>
    <r>
      <rPr>
        <sz val="9"/>
        <color theme="0"/>
        <rFont val="Calibri"/>
        <family val="2"/>
        <scheme val="minor"/>
      </rPr>
      <t>x,y</t>
    </r>
  </si>
  <si>
    <t>mètre/ sec</t>
  </si>
  <si>
    <t>Accélération initiale</t>
  </si>
  <si>
    <r>
      <t xml:space="preserve">a </t>
    </r>
    <r>
      <rPr>
        <sz val="9"/>
        <color theme="0"/>
        <rFont val="Calibri"/>
        <family val="2"/>
        <scheme val="minor"/>
      </rPr>
      <t>x,y</t>
    </r>
  </si>
  <si>
    <t>mètre/ sec²</t>
  </si>
  <si>
    <t>Dimension</t>
  </si>
  <si>
    <t>mètres</t>
  </si>
  <si>
    <t>TROIS CORPS STATIQUES</t>
  </si>
  <si>
    <t>Corps 1</t>
  </si>
  <si>
    <t>Position</t>
  </si>
  <si>
    <t>q1 x,y</t>
  </si>
  <si>
    <t>20 000, 7500</t>
  </si>
  <si>
    <t>Rayon</t>
  </si>
  <si>
    <t>Masse Volumique Moyenne</t>
  </si>
  <si>
    <t>Volume</t>
  </si>
  <si>
    <t>mètre²</t>
  </si>
  <si>
    <t>Masse Totale</t>
  </si>
  <si>
    <t>Constante d'Aarseth</t>
  </si>
  <si>
    <t>Attraction/Répulsion</t>
  </si>
  <si>
    <t>Attraction</t>
  </si>
  <si>
    <t>Corps 2</t>
  </si>
  <si>
    <t>Corps 3</t>
  </si>
  <si>
    <t>x</t>
  </si>
  <si>
    <t>y</t>
  </si>
  <si>
    <t>rayon</t>
  </si>
  <si>
    <t>masse vol</t>
  </si>
  <si>
    <t>Aarseth</t>
  </si>
  <si>
    <t xml:space="preserve"> </t>
  </si>
  <si>
    <t>Parametre generaux</t>
  </si>
  <si>
    <t>temps (t)</t>
  </si>
  <si>
    <t>friction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</si>
</sst>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)_ ;_ * \(#,##0.00\)_ ;_ * &quot;-&quot;??_)_ ;_ @_ 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6"/>
      <name val="Arial Black"/>
      <family val="2"/>
    </font>
    <font>
      <b/>
      <sz val="11"/>
      <color theme="0"/>
      <name val="Aharoni"/>
    </font>
    <font>
      <b/>
      <sz val="11"/>
      <color theme="0"/>
      <name val="Aharoni"/>
      <charset val="177"/>
    </font>
    <font>
      <sz val="9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orbel"/>
      <family val="2"/>
    </font>
    <font>
      <b/>
      <sz val="10"/>
      <name val="Corbel"/>
      <family val="2"/>
    </font>
    <font>
      <sz val="8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7030A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double">
        <color auto="1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7">
    <xf numFmtId="0" fontId="0" fillId="0" borderId="0" xfId="0"/>
    <xf numFmtId="11" fontId="0" fillId="0" borderId="0" xfId="0" applyNumberForma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4" fillId="0" borderId="5" xfId="0" applyFont="1" applyBorder="1" applyAlignment="1">
      <alignment horizontal="center" vertical="center"/>
    </xf>
    <xf numFmtId="0" fontId="3" fillId="0" borderId="6" xfId="0" applyFont="1" applyBorder="1"/>
    <xf numFmtId="0" fontId="2" fillId="0" borderId="0" xfId="0" applyFont="1"/>
    <xf numFmtId="0" fontId="5" fillId="2" borderId="8" xfId="0" applyFont="1" applyFill="1" applyBorder="1"/>
    <xf numFmtId="0" fontId="6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0" xfId="0" applyFont="1" applyFill="1"/>
    <xf numFmtId="0" fontId="3" fillId="0" borderId="0" xfId="0" applyFont="1"/>
    <xf numFmtId="0" fontId="2" fillId="0" borderId="9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/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2" fillId="0" borderId="9" xfId="0" applyFont="1" applyBorder="1" applyAlignment="1">
      <alignment horizontal="left" indent="6"/>
    </xf>
    <xf numFmtId="0" fontId="2" fillId="0" borderId="9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12" xfId="0" applyFont="1" applyBorder="1"/>
    <xf numFmtId="0" fontId="2" fillId="0" borderId="1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2" fillId="0" borderId="0" xfId="0" applyFont="1" applyAlignment="1">
      <alignment horizontal="left" indent="5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 indent="9"/>
    </xf>
    <xf numFmtId="0" fontId="6" fillId="2" borderId="0" xfId="0" applyFont="1" applyFill="1"/>
    <xf numFmtId="0" fontId="2" fillId="0" borderId="6" xfId="0" applyFont="1" applyBorder="1"/>
    <xf numFmtId="0" fontId="2" fillId="0" borderId="0" xfId="0" applyFont="1" applyAlignment="1">
      <alignment horizontal="left" indent="7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 indent="6"/>
    </xf>
    <xf numFmtId="11" fontId="2" fillId="0" borderId="0" xfId="1" applyNumberFormat="1" applyFont="1" applyBorder="1" applyAlignment="1">
      <alignment horizontal="left" indent="6"/>
    </xf>
    <xf numFmtId="0" fontId="2" fillId="0" borderId="4" xfId="0" applyFont="1" applyBorder="1"/>
    <xf numFmtId="0" fontId="5" fillId="2" borderId="0" xfId="0" applyFont="1" applyFill="1"/>
    <xf numFmtId="0" fontId="8" fillId="3" borderId="13" xfId="0" applyFont="1" applyFill="1" applyBorder="1"/>
    <xf numFmtId="0" fontId="3" fillId="3" borderId="14" xfId="0" applyFont="1" applyFill="1" applyBorder="1"/>
    <xf numFmtId="0" fontId="3" fillId="3" borderId="15" xfId="0" applyFont="1" applyFill="1" applyBorder="1"/>
    <xf numFmtId="0" fontId="3" fillId="0" borderId="9" xfId="0" applyFont="1" applyBorder="1"/>
    <xf numFmtId="0" fontId="9" fillId="0" borderId="0" xfId="0" applyFont="1"/>
    <xf numFmtId="0" fontId="9" fillId="0" borderId="6" xfId="0" applyFont="1" applyBorder="1"/>
    <xf numFmtId="0" fontId="9" fillId="0" borderId="12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9" fillId="0" borderId="16" xfId="0" applyFont="1" applyBorder="1"/>
    <xf numFmtId="0" fontId="9" fillId="0" borderId="17" xfId="0" applyFont="1" applyBorder="1"/>
    <xf numFmtId="0" fontId="9" fillId="0" borderId="18" xfId="0" applyFont="1" applyBorder="1" applyAlignment="1">
      <alignment horizontal="center"/>
    </xf>
    <xf numFmtId="0" fontId="9" fillId="0" borderId="16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11" fontId="9" fillId="0" borderId="18" xfId="0" applyNumberFormat="1" applyFont="1" applyBorder="1" applyAlignment="1">
      <alignment horizontal="center"/>
    </xf>
    <xf numFmtId="11" fontId="9" fillId="0" borderId="12" xfId="0" applyNumberFormat="1" applyFont="1" applyBorder="1" applyAlignment="1">
      <alignment horizontal="center"/>
    </xf>
    <xf numFmtId="0" fontId="8" fillId="0" borderId="0" xfId="0" applyFont="1"/>
    <xf numFmtId="0" fontId="8" fillId="4" borderId="13" xfId="0" applyFont="1" applyFill="1" applyBorder="1"/>
    <xf numFmtId="0" fontId="3" fillId="4" borderId="14" xfId="0" applyFont="1" applyFill="1" applyBorder="1"/>
    <xf numFmtId="0" fontId="3" fillId="4" borderId="15" xfId="0" applyFont="1" applyFill="1" applyBorder="1"/>
    <xf numFmtId="0" fontId="3" fillId="0" borderId="19" xfId="0" applyFont="1" applyBorder="1"/>
    <xf numFmtId="0" fontId="10" fillId="0" borderId="12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18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11" fontId="10" fillId="0" borderId="18" xfId="0" applyNumberFormat="1" applyFont="1" applyBorder="1" applyAlignment="1">
      <alignment horizontal="center"/>
    </xf>
    <xf numFmtId="11" fontId="10" fillId="0" borderId="12" xfId="0" applyNumberFormat="1" applyFont="1" applyBorder="1" applyAlignment="1">
      <alignment horizontal="center"/>
    </xf>
    <xf numFmtId="0" fontId="8" fillId="5" borderId="20" xfId="0" applyFont="1" applyFill="1" applyBorder="1"/>
    <xf numFmtId="0" fontId="3" fillId="5" borderId="14" xfId="0" applyFont="1" applyFill="1" applyBorder="1"/>
    <xf numFmtId="0" fontId="3" fillId="5" borderId="15" xfId="0" applyFont="1" applyFill="1" applyBorder="1"/>
    <xf numFmtId="0" fontId="3" fillId="0" borderId="21" xfId="0" applyFont="1" applyBorder="1"/>
    <xf numFmtId="0" fontId="3" fillId="0" borderId="22" xfId="0" applyFont="1" applyBorder="1"/>
    <xf numFmtId="0" fontId="3" fillId="0" borderId="23" xfId="0" applyFont="1" applyBorder="1"/>
    <xf numFmtId="0" fontId="4" fillId="0" borderId="7" xfId="0" applyFont="1" applyBorder="1" applyAlignment="1">
      <alignment horizontal="center" vertical="center"/>
    </xf>
    <xf numFmtId="0" fontId="2" fillId="6" borderId="0" xfId="0" applyFont="1" applyFill="1"/>
    <xf numFmtId="0" fontId="12" fillId="0" borderId="0" xfId="0" applyFont="1"/>
    <xf numFmtId="0" fontId="13" fillId="0" borderId="0" xfId="0" applyFont="1"/>
    <xf numFmtId="0" fontId="2" fillId="7" borderId="0" xfId="0" applyFont="1" applyFill="1"/>
    <xf numFmtId="0" fontId="2" fillId="8" borderId="0" xfId="0" applyFont="1" applyFill="1"/>
    <xf numFmtId="0" fontId="9" fillId="0" borderId="11" xfId="0" applyFont="1" applyBorder="1" applyAlignment="1">
      <alignment horizontal="center"/>
    </xf>
  </cellXfs>
  <cellStyles count="2">
    <cellStyle name="Milliers" xfId="1" builtinId="3"/>
    <cellStyle name="Normal" xfId="0" builtinId="0"/>
  </cellStyles>
  <dxfs count="75">
    <dxf>
      <font>
        <b/>
        <strike val="0"/>
        <outline val="0"/>
        <shadow val="0"/>
        <u val="none"/>
        <vertAlign val="baseline"/>
        <color auto="1"/>
        <name val="Corbel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Corbel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Corbe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</border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auto="1"/>
        <name val="Corbe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Corbe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color auto="1"/>
        <name val="Corbe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color auto="1"/>
        <name val="Corbel"/>
        <family val="2"/>
        <scheme val="none"/>
      </font>
      <alignment horizontal="general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Corbel"/>
        <family val="2"/>
        <scheme val="none"/>
      </font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color auto="1"/>
        <name val="Corbe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Corbe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Corbel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Corbel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auto="1"/>
        <name val="Corbel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Corbe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Corbel"/>
        <family val="2"/>
        <scheme val="none"/>
      </font>
      <alignment horizontal="general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Corbel"/>
        <family val="2"/>
        <scheme val="none"/>
      </font>
      <alignment horizontal="general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Corbel"/>
        <family val="2"/>
        <scheme val="none"/>
      </font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orbel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orbel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orbel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orbe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orbel"/>
        <family val="2"/>
        <scheme val="none"/>
      </font>
      <alignment horizontal="general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orbel"/>
        <family val="2"/>
        <scheme val="none"/>
      </font>
      <alignment horizontal="general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orbel"/>
        <family val="2"/>
        <scheme val="none"/>
      </font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228600</xdr:colOff>
      <xdr:row>8</xdr:row>
      <xdr:rowOff>47625</xdr:rowOff>
    </xdr:from>
    <xdr:to>
      <xdr:col>35</xdr:col>
      <xdr:colOff>447675</xdr:colOff>
      <xdr:row>41</xdr:row>
      <xdr:rowOff>95250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E12DC58E-010D-42C4-9573-2571B83128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3525" y="1628775"/>
          <a:ext cx="12411075" cy="6400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CB1EF25-0F49-4E1A-B112-8A80B9CCCD27}" name="Tableau6" displayName="Tableau6" ref="L10:S15" headerRowCount="0" totalsRowShown="0" headerRowDxfId="55" dataDxfId="54" tableBorderDxfId="53">
  <tableColumns count="8">
    <tableColumn id="1" xr3:uid="{63F3AAD4-0F3C-406B-916E-F0F7E5953673}" name="Colonne1" dataDxfId="52"/>
    <tableColumn id="2" xr3:uid="{CB0F9EF1-9620-4BB8-9745-CECDE3A7152B}" name="Colonne2" dataDxfId="51"/>
    <tableColumn id="3" xr3:uid="{46CFFA0F-6DBA-4100-B4A5-DE288429BE55}" name="Colonne3" dataDxfId="50"/>
    <tableColumn id="4" xr3:uid="{E2AD6D58-7208-44A1-94EF-C07C9D9DEC7A}" name="Colonne4" dataDxfId="49"/>
    <tableColumn id="5" xr3:uid="{03B44A34-75BC-4676-8454-C2F59961D1F8}" name="Colonne5" dataDxfId="48"/>
    <tableColumn id="6" xr3:uid="{A5BDCE98-DB6E-400C-A58F-0AA731689114}" name="Colonne6" dataDxfId="47"/>
    <tableColumn id="7" xr3:uid="{6F9D379A-D3AD-4DD2-957E-D4881C5260A3}" name="Colonne7" dataDxfId="46"/>
    <tableColumn id="8" xr3:uid="{E3369512-AA3E-46FB-BF97-F46E6D3240E5}" name="Colonne8" dataDxfId="45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562C585-2FB3-4CF3-92B9-9114D712F173}" name="Tableau7" displayName="Tableau7" ref="L19:S25" headerRowCount="0" totalsRowShown="0" headerRowDxfId="44" dataDxfId="43" tableBorderDxfId="42">
  <tableColumns count="8">
    <tableColumn id="1" xr3:uid="{100B147B-723B-41AD-8503-0DD11F49E21E}" name="Colonne1" dataDxfId="41"/>
    <tableColumn id="2" xr3:uid="{FE371863-D96E-4C08-BF33-144CC5B317DA}" name="Colonne2" dataDxfId="40"/>
    <tableColumn id="3" xr3:uid="{5A069715-9467-4AF2-B4E4-2D692F5F3E3F}" name="Colonne3" dataDxfId="39"/>
    <tableColumn id="4" xr3:uid="{19944AF9-1734-4189-B507-11B702A2D7A2}" name="Colonne4" dataDxfId="38"/>
    <tableColumn id="5" xr3:uid="{BB18C5E3-1719-477A-8CE3-C98299B051BC}" name="Colonne5" headerRowDxfId="37" dataDxfId="36"/>
    <tableColumn id="6" xr3:uid="{3EE31FC0-88FD-429D-A51F-A3319CEB08AA}" name="Colonne6" headerRowDxfId="35" dataDxfId="34"/>
    <tableColumn id="7" xr3:uid="{1352BCB9-D849-47AF-9E6F-52E3FE37B400}" name="Colonne7" headerRowDxfId="33" dataDxfId="32"/>
    <tableColumn id="8" xr3:uid="{02E32FDA-144C-4CBE-ABED-942BD9B50FDD}" name="Colonne8" headerRowDxfId="31" dataDxfId="30"/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9460154-F851-47A4-8F1E-911CCF7075F5}" name="Tableau79" displayName="Tableau79" ref="L28:S34" headerRowCount="0" totalsRowShown="0" headerRowDxfId="29" dataDxfId="28" tableBorderDxfId="27">
  <tableColumns count="8">
    <tableColumn id="1" xr3:uid="{13B97F7B-81A4-4199-AD2A-5690213A8B75}" name="Colonne1" dataDxfId="26"/>
    <tableColumn id="2" xr3:uid="{6019D8C0-20AE-468F-AA08-BA100930EF9C}" name="Colonne2" dataDxfId="25"/>
    <tableColumn id="3" xr3:uid="{C919E1C0-6397-486D-BD1D-D032D58BCF87}" name="Colonne3" dataDxfId="24"/>
    <tableColumn id="4" xr3:uid="{EE10022B-C86A-416F-9DB9-E1E97409C115}" name="Colonne4" dataDxfId="23"/>
    <tableColumn id="5" xr3:uid="{1254A6DC-81F5-4291-898F-32C1EA84C61E}" name="Colonne5" headerRowDxfId="22" dataDxfId="21"/>
    <tableColumn id="6" xr3:uid="{82A5DF4B-4979-4BFD-A9A2-1D38D05389AD}" name="Colonne6" headerRowDxfId="20" dataDxfId="19"/>
    <tableColumn id="7" xr3:uid="{3A6BD9DA-D8FA-4F57-851A-F8FF45C58461}" name="Colonne7" headerRowDxfId="18" dataDxfId="17"/>
    <tableColumn id="8" xr3:uid="{3B0CB97B-6ACB-495D-A575-393C304E4AF3}" name="Colonne8" headerRowDxfId="16" dataDxfId="15"/>
  </tableColumns>
  <tableStyleInfo name="TableStyleMedium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8717EE-F4D4-4477-A350-398C6A6CA422}" name="Tableau7910" displayName="Tableau7910" ref="L37:S43" headerRowCount="0" totalsRowShown="0" headerRowDxfId="14" dataDxfId="13" tableBorderDxfId="12">
  <tableColumns count="8">
    <tableColumn id="1" xr3:uid="{AB3F6257-8991-435F-987A-14C4F62D68EE}" name="Colonne1" dataDxfId="11"/>
    <tableColumn id="2" xr3:uid="{A626C9F6-99B1-40FB-BFD3-50579B574ABE}" name="Colonne2" dataDxfId="10"/>
    <tableColumn id="3" xr3:uid="{ABE6DED3-1C1C-4C3E-9974-766B18B2EEAC}" name="Colonne3" dataDxfId="9"/>
    <tableColumn id="4" xr3:uid="{C1B1E30D-4B6B-40D7-8049-1C33BE395FD1}" name="Colonne4" dataDxfId="8"/>
    <tableColumn id="5" xr3:uid="{496C31FC-3251-4A52-90C6-1262CBF140AC}" name="Colonne5" headerRowDxfId="7" dataDxfId="6"/>
    <tableColumn id="6" xr3:uid="{965C5F73-4DFC-4C0D-8B19-EBE4839C2254}" name="Colonne6" headerRowDxfId="5" dataDxfId="4"/>
    <tableColumn id="7" xr3:uid="{4B5017F2-21F8-424D-B870-46B4A836C5CA}" name="Colonne7" headerRowDxfId="3" dataDxfId="2"/>
    <tableColumn id="8" xr3:uid="{A02E9A8E-9726-4C5B-A3FB-307C172D5477}" name="Colonne8" headerRowDxfId="1" dataDxfId="0"/>
  </tableColumns>
  <tableStyleInfo name="TableStyleMedium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B2DF1C8-FF38-4FD7-B1F9-82A1789744BA}" name="Tableau5" displayName="Tableau5" ref="L5:S8" headerRowCount="0" totalsRowShown="0" headerRowDxfId="74" dataDxfId="73" tableBorderDxfId="72">
  <tableColumns count="8">
    <tableColumn id="1" xr3:uid="{AE07E5DF-E1E2-46A6-86AC-BC637484F137}" name="Colonne1" headerRowDxfId="71" dataDxfId="70"/>
    <tableColumn id="2" xr3:uid="{F64FB122-E421-41D3-A9B2-59B88B1A26F1}" name="Colonne2" headerRowDxfId="69" dataDxfId="68"/>
    <tableColumn id="3" xr3:uid="{A326058D-578A-4125-8F9C-4B43C4963583}" name="Colonne3" headerRowDxfId="67" dataDxfId="66"/>
    <tableColumn id="4" xr3:uid="{6A00BB04-01BC-4111-97BB-CA8D5424FEF3}" name="Colonne4" headerRowDxfId="65" dataDxfId="64"/>
    <tableColumn id="5" xr3:uid="{16271B71-65F6-451C-82CF-851C8F1A87C7}" name="Colonne5" headerRowDxfId="63" dataDxfId="62"/>
    <tableColumn id="6" xr3:uid="{6E7B9818-6D87-4CC1-81D2-FF1C20B20496}" name="Colonne6" headerRowDxfId="61" dataDxfId="60"/>
    <tableColumn id="7" xr3:uid="{3169D394-C9DB-42E9-9DA6-D24790F86D7D}" name="Colonne7" headerRowDxfId="59" dataDxfId="58"/>
    <tableColumn id="8" xr3:uid="{D4A12DA9-DF6E-4BFE-A233-518A012979B4}" name="Colonne8" headerRowDxfId="57" dataDxfId="56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22360-F11C-4AAB-B92B-4B718A12F8A7}">
  <dimension ref="A1:K8"/>
  <sheetViews>
    <sheetView tabSelected="1" workbookViewId="0">
      <selection activeCell="J1" sqref="J1:K4"/>
    </sheetView>
  </sheetViews>
  <sheetFormatPr baseColWidth="10" defaultRowHeight="15" x14ac:dyDescent="0.25"/>
  <sheetData>
    <row r="1" spans="1:11" x14ac:dyDescent="0.25">
      <c r="A1" s="71" t="s">
        <v>36</v>
      </c>
      <c r="B1" t="s">
        <v>50</v>
      </c>
      <c r="C1" t="s">
        <v>51</v>
      </c>
      <c r="D1" s="74" t="s">
        <v>48</v>
      </c>
      <c r="E1" t="s">
        <v>50</v>
      </c>
      <c r="F1" t="s">
        <v>51</v>
      </c>
      <c r="G1" s="75" t="s">
        <v>49</v>
      </c>
      <c r="H1" t="s">
        <v>50</v>
      </c>
      <c r="I1" t="s">
        <v>51</v>
      </c>
      <c r="J1" t="s">
        <v>56</v>
      </c>
    </row>
    <row r="2" spans="1:11" x14ac:dyDescent="0.25">
      <c r="A2" s="72" t="s">
        <v>37</v>
      </c>
      <c r="B2">
        <v>20000</v>
      </c>
      <c r="C2">
        <v>7500</v>
      </c>
      <c r="D2" s="72" t="s">
        <v>37</v>
      </c>
      <c r="E2">
        <v>-20000</v>
      </c>
      <c r="F2">
        <v>10000</v>
      </c>
      <c r="G2" s="72" t="s">
        <v>37</v>
      </c>
      <c r="H2">
        <v>-5000</v>
      </c>
      <c r="I2">
        <v>-15000</v>
      </c>
      <c r="J2" t="s">
        <v>57</v>
      </c>
      <c r="K2">
        <v>0.5</v>
      </c>
    </row>
    <row r="3" spans="1:11" x14ac:dyDescent="0.25">
      <c r="A3" s="72" t="s">
        <v>52</v>
      </c>
      <c r="B3">
        <v>5000</v>
      </c>
      <c r="D3" s="72" t="s">
        <v>52</v>
      </c>
      <c r="E3">
        <v>3500</v>
      </c>
      <c r="G3" s="72" t="s">
        <v>52</v>
      </c>
      <c r="H3">
        <v>5000</v>
      </c>
      <c r="J3" t="s">
        <v>58</v>
      </c>
      <c r="K3">
        <v>0</v>
      </c>
    </row>
    <row r="4" spans="1:11" x14ac:dyDescent="0.25">
      <c r="A4" s="72" t="s">
        <v>53</v>
      </c>
      <c r="B4">
        <v>1</v>
      </c>
      <c r="D4" s="72" t="s">
        <v>53</v>
      </c>
      <c r="E4">
        <v>1</v>
      </c>
      <c r="G4" s="72" t="s">
        <v>53</v>
      </c>
      <c r="H4">
        <v>1</v>
      </c>
      <c r="J4" t="s">
        <v>54</v>
      </c>
      <c r="K4">
        <v>1</v>
      </c>
    </row>
    <row r="5" spans="1:11" x14ac:dyDescent="0.25">
      <c r="A5" s="72" t="s">
        <v>0</v>
      </c>
      <c r="B5" s="1">
        <v>5.23599E+16</v>
      </c>
      <c r="D5" s="72" t="s">
        <v>0</v>
      </c>
      <c r="E5" s="1">
        <v>1.79594E+16</v>
      </c>
      <c r="G5" s="72" t="s">
        <v>0</v>
      </c>
      <c r="H5" s="1">
        <v>523599000000</v>
      </c>
    </row>
    <row r="6" spans="1:11" x14ac:dyDescent="0.25">
      <c r="A6" s="72" t="s">
        <v>1</v>
      </c>
      <c r="B6" s="1">
        <v>5.23599E+16</v>
      </c>
      <c r="D6" s="72" t="s">
        <v>1</v>
      </c>
      <c r="E6" s="1">
        <v>1.79594E+16</v>
      </c>
      <c r="G6" s="72" t="s">
        <v>1</v>
      </c>
      <c r="H6" s="1">
        <v>523599000000</v>
      </c>
    </row>
    <row r="7" spans="1:11" x14ac:dyDescent="0.25">
      <c r="A7" s="72" t="s">
        <v>54</v>
      </c>
      <c r="D7" s="72" t="s">
        <v>54</v>
      </c>
      <c r="E7">
        <v>3500</v>
      </c>
      <c r="G7" s="72" t="s">
        <v>54</v>
      </c>
      <c r="H7">
        <v>5000</v>
      </c>
    </row>
    <row r="8" spans="1:11" x14ac:dyDescent="0.25">
      <c r="A8" s="73" t="s">
        <v>47</v>
      </c>
      <c r="B8" s="73"/>
      <c r="C8" s="73"/>
      <c r="D8" s="73" t="s">
        <v>47</v>
      </c>
      <c r="E8" s="73"/>
      <c r="F8" s="73"/>
      <c r="G8" s="73" t="s">
        <v>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B49A3-1EF5-4BB7-BF3D-2FDC852D6268}">
  <sheetPr codeName="Feuil1"/>
  <dimension ref="A1:Y44"/>
  <sheetViews>
    <sheetView workbookViewId="0">
      <selection sqref="A1:I9"/>
    </sheetView>
  </sheetViews>
  <sheetFormatPr baseColWidth="10" defaultRowHeight="15" x14ac:dyDescent="0.25"/>
  <cols>
    <col min="10" max="10" width="26.85546875" bestFit="1" customWidth="1"/>
    <col min="11" max="12" width="11.5703125" customWidth="1"/>
    <col min="13" max="13" width="15.28515625" bestFit="1" customWidth="1"/>
    <col min="16" max="16" width="12.42578125" bestFit="1" customWidth="1"/>
  </cols>
  <sheetData>
    <row r="1" spans="1:25" ht="15.75" thickBot="1" x14ac:dyDescent="0.3">
      <c r="A1" s="71" t="s">
        <v>36</v>
      </c>
      <c r="B1" t="s">
        <v>50</v>
      </c>
      <c r="C1" t="s">
        <v>51</v>
      </c>
      <c r="D1" s="74" t="s">
        <v>48</v>
      </c>
      <c r="E1" t="s">
        <v>50</v>
      </c>
      <c r="F1" t="s">
        <v>51</v>
      </c>
      <c r="G1" s="75" t="s">
        <v>49</v>
      </c>
      <c r="H1" t="s">
        <v>50</v>
      </c>
      <c r="I1" t="s">
        <v>51</v>
      </c>
      <c r="J1" s="2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5" ht="15.75" customHeight="1" thickTop="1" x14ac:dyDescent="0.25">
      <c r="A2" s="72" t="s">
        <v>37</v>
      </c>
      <c r="B2">
        <v>20000</v>
      </c>
      <c r="C2">
        <v>7500</v>
      </c>
      <c r="D2" s="72" t="s">
        <v>37</v>
      </c>
      <c r="E2">
        <v>-20000</v>
      </c>
      <c r="F2">
        <v>10000</v>
      </c>
      <c r="G2" s="72" t="s">
        <v>37</v>
      </c>
      <c r="H2">
        <v>-5000</v>
      </c>
      <c r="I2">
        <v>-15000</v>
      </c>
      <c r="J2" s="5"/>
      <c r="K2" s="6" t="s">
        <v>15</v>
      </c>
      <c r="L2" s="6"/>
      <c r="M2" s="6"/>
      <c r="N2" s="6"/>
      <c r="O2" s="6"/>
      <c r="P2" s="6"/>
      <c r="Q2" s="6"/>
      <c r="R2" s="6"/>
      <c r="S2" s="6"/>
      <c r="T2" s="7"/>
    </row>
    <row r="3" spans="1:25" ht="15.75" customHeight="1" thickBot="1" x14ac:dyDescent="0.3">
      <c r="A3" s="72" t="s">
        <v>52</v>
      </c>
      <c r="B3">
        <v>5000</v>
      </c>
      <c r="D3" s="72" t="s">
        <v>52</v>
      </c>
      <c r="E3">
        <v>3500</v>
      </c>
      <c r="G3" s="72" t="s">
        <v>52</v>
      </c>
      <c r="H3">
        <v>5000</v>
      </c>
      <c r="J3" s="5"/>
      <c r="K3" s="70"/>
      <c r="L3" s="70"/>
      <c r="M3" s="70"/>
      <c r="N3" s="70"/>
      <c r="O3" s="70"/>
      <c r="P3" s="70"/>
      <c r="Q3" s="70"/>
      <c r="R3" s="70"/>
      <c r="S3" s="70"/>
      <c r="T3" s="7"/>
    </row>
    <row r="4" spans="1:25" ht="16.5" thickTop="1" thickBot="1" x14ac:dyDescent="0.3">
      <c r="A4" s="72" t="s">
        <v>53</v>
      </c>
      <c r="B4">
        <v>1</v>
      </c>
      <c r="D4" s="72" t="s">
        <v>53</v>
      </c>
      <c r="E4">
        <v>1</v>
      </c>
      <c r="G4" s="72" t="s">
        <v>53</v>
      </c>
      <c r="H4">
        <v>1</v>
      </c>
      <c r="J4" s="5"/>
      <c r="K4" s="8"/>
      <c r="L4" s="8"/>
      <c r="M4" s="8"/>
      <c r="N4" s="8"/>
      <c r="O4" s="8"/>
      <c r="P4" s="8"/>
      <c r="Q4" s="8"/>
      <c r="R4" s="8"/>
      <c r="S4" s="8"/>
      <c r="T4" s="7"/>
    </row>
    <row r="5" spans="1:25" ht="15.75" thickBot="1" x14ac:dyDescent="0.3">
      <c r="A5" s="72" t="s">
        <v>0</v>
      </c>
      <c r="B5" s="1">
        <v>5.23599E+16</v>
      </c>
      <c r="D5" s="72" t="s">
        <v>0</v>
      </c>
      <c r="E5" s="1">
        <v>1.79594E+16</v>
      </c>
      <c r="G5" s="72" t="s">
        <v>0</v>
      </c>
      <c r="H5" s="1">
        <v>523599000000</v>
      </c>
      <c r="J5" s="5"/>
      <c r="K5" s="9" t="s">
        <v>16</v>
      </c>
      <c r="L5" s="10"/>
      <c r="M5" s="11"/>
      <c r="N5" s="11"/>
      <c r="O5" s="12"/>
      <c r="P5" s="12"/>
      <c r="Q5" s="12"/>
      <c r="R5" s="12"/>
      <c r="S5" s="12"/>
      <c r="T5" s="7"/>
    </row>
    <row r="6" spans="1:25" x14ac:dyDescent="0.25">
      <c r="A6" s="72" t="s">
        <v>1</v>
      </c>
      <c r="B6" s="1">
        <v>5.23599E+16</v>
      </c>
      <c r="D6" s="72" t="s">
        <v>1</v>
      </c>
      <c r="E6" s="1">
        <v>1.79594E+16</v>
      </c>
      <c r="G6" s="72" t="s">
        <v>1</v>
      </c>
      <c r="H6" s="1">
        <v>523599000000</v>
      </c>
      <c r="J6" s="5"/>
      <c r="K6" s="13"/>
      <c r="L6" s="14" t="s">
        <v>17</v>
      </c>
      <c r="M6" s="14"/>
      <c r="N6" s="15"/>
      <c r="O6" s="16"/>
      <c r="P6" s="17" t="s">
        <v>2</v>
      </c>
      <c r="Q6" s="18">
        <v>0.5</v>
      </c>
      <c r="R6" s="19" t="s">
        <v>18</v>
      </c>
      <c r="S6" s="20"/>
      <c r="T6" s="7"/>
    </row>
    <row r="7" spans="1:25" x14ac:dyDescent="0.25">
      <c r="A7" s="72" t="s">
        <v>54</v>
      </c>
      <c r="D7" s="72" t="s">
        <v>54</v>
      </c>
      <c r="E7">
        <v>3500</v>
      </c>
      <c r="G7" s="72" t="s">
        <v>54</v>
      </c>
      <c r="H7">
        <v>5000</v>
      </c>
      <c r="J7" s="5"/>
      <c r="K7" s="13"/>
      <c r="L7" s="21" t="s">
        <v>19</v>
      </c>
      <c r="M7" s="21"/>
      <c r="N7" s="22"/>
      <c r="O7" s="23"/>
      <c r="P7" s="24" t="s">
        <v>20</v>
      </c>
      <c r="Q7" s="25">
        <v>0</v>
      </c>
      <c r="R7" s="26" t="s">
        <v>12</v>
      </c>
      <c r="S7" s="27"/>
      <c r="T7" s="7"/>
    </row>
    <row r="8" spans="1:25" x14ac:dyDescent="0.25">
      <c r="A8" s="73" t="s">
        <v>47</v>
      </c>
      <c r="B8" s="73"/>
      <c r="C8" s="73"/>
      <c r="D8" s="73" t="s">
        <v>47</v>
      </c>
      <c r="E8" s="73"/>
      <c r="F8" s="73"/>
      <c r="G8" s="73" t="s">
        <v>47</v>
      </c>
      <c r="J8" s="5"/>
      <c r="K8" s="13"/>
      <c r="L8" s="21" t="s">
        <v>21</v>
      </c>
      <c r="M8" s="21"/>
      <c r="N8" s="22"/>
      <c r="O8" s="23"/>
      <c r="P8" s="24" t="s">
        <v>8</v>
      </c>
      <c r="Q8" s="25">
        <v>2</v>
      </c>
      <c r="R8" s="28" t="s">
        <v>10</v>
      </c>
      <c r="S8" s="28"/>
      <c r="T8" s="7"/>
    </row>
    <row r="9" spans="1:25" x14ac:dyDescent="0.25">
      <c r="J9" s="5"/>
      <c r="K9" s="13"/>
      <c r="L9" s="8"/>
      <c r="M9" s="8"/>
      <c r="N9" s="8"/>
      <c r="O9" s="8"/>
      <c r="P9" s="8"/>
      <c r="Q9" s="8"/>
      <c r="R9" s="8"/>
      <c r="S9" s="8"/>
      <c r="T9" s="7"/>
    </row>
    <row r="10" spans="1:25" x14ac:dyDescent="0.25">
      <c r="J10" s="5"/>
      <c r="K10" s="13"/>
      <c r="L10" s="29" t="s">
        <v>22</v>
      </c>
      <c r="M10" s="12"/>
      <c r="N10" s="12"/>
      <c r="O10" s="12"/>
      <c r="P10" s="12"/>
      <c r="Q10" s="12"/>
      <c r="R10" s="12"/>
      <c r="S10" s="12"/>
      <c r="T10" s="7"/>
    </row>
    <row r="11" spans="1:25" x14ac:dyDescent="0.25">
      <c r="J11" s="5"/>
      <c r="K11" s="13"/>
      <c r="L11" s="8" t="s">
        <v>23</v>
      </c>
      <c r="M11" s="8"/>
      <c r="N11" s="30"/>
      <c r="O11" s="23"/>
      <c r="P11" s="25" t="s">
        <v>3</v>
      </c>
      <c r="Q11" s="25">
        <v>1</v>
      </c>
      <c r="R11" s="31" t="s">
        <v>11</v>
      </c>
      <c r="S11" s="32"/>
      <c r="T11" s="7"/>
    </row>
    <row r="12" spans="1:25" x14ac:dyDescent="0.25">
      <c r="J12" s="5"/>
      <c r="K12" s="13"/>
      <c r="L12" s="8" t="s">
        <v>24</v>
      </c>
      <c r="M12" s="8"/>
      <c r="N12" s="30"/>
      <c r="O12" s="23"/>
      <c r="P12" s="25" t="s">
        <v>25</v>
      </c>
      <c r="Q12" s="25" t="s">
        <v>26</v>
      </c>
      <c r="R12" s="31" t="s">
        <v>13</v>
      </c>
      <c r="S12" s="8"/>
      <c r="T12" s="7"/>
    </row>
    <row r="13" spans="1:25" x14ac:dyDescent="0.25">
      <c r="J13" s="5"/>
      <c r="K13" s="13"/>
      <c r="L13" s="8" t="s">
        <v>27</v>
      </c>
      <c r="M13" s="8"/>
      <c r="N13" s="30"/>
      <c r="O13" s="23"/>
      <c r="P13" s="25" t="s">
        <v>28</v>
      </c>
      <c r="Q13" s="25" t="s">
        <v>26</v>
      </c>
      <c r="R13" s="33" t="s">
        <v>29</v>
      </c>
      <c r="S13" s="8"/>
      <c r="T13" s="7"/>
    </row>
    <row r="14" spans="1:25" x14ac:dyDescent="0.25">
      <c r="J14" s="5"/>
      <c r="K14" s="13"/>
      <c r="L14" s="8" t="s">
        <v>30</v>
      </c>
      <c r="M14" s="8"/>
      <c r="N14" s="30"/>
      <c r="O14" s="23"/>
      <c r="P14" s="25" t="s">
        <v>31</v>
      </c>
      <c r="Q14" s="25" t="s">
        <v>26</v>
      </c>
      <c r="R14" s="34" t="s">
        <v>32</v>
      </c>
      <c r="S14" s="8"/>
      <c r="T14" s="7"/>
    </row>
    <row r="15" spans="1:25" x14ac:dyDescent="0.25">
      <c r="J15" s="5"/>
      <c r="K15" s="13"/>
      <c r="L15" s="8" t="s">
        <v>33</v>
      </c>
      <c r="M15" s="8"/>
      <c r="N15" s="8"/>
      <c r="O15" s="23"/>
      <c r="P15" s="25" t="s">
        <v>6</v>
      </c>
      <c r="Q15" s="25">
        <v>2500</v>
      </c>
      <c r="R15" s="31" t="s">
        <v>34</v>
      </c>
      <c r="S15" s="8"/>
      <c r="T15" s="7"/>
    </row>
    <row r="16" spans="1:25" x14ac:dyDescent="0.25">
      <c r="J16" s="35"/>
      <c r="K16" s="8"/>
      <c r="L16" s="8"/>
      <c r="M16" s="8"/>
      <c r="N16" s="8"/>
      <c r="O16" s="8"/>
      <c r="P16" s="8"/>
      <c r="Q16" s="8"/>
      <c r="R16" s="8"/>
      <c r="S16" s="8"/>
      <c r="T16" s="7"/>
      <c r="Y16">
        <v>0</v>
      </c>
    </row>
    <row r="17" spans="10:20" ht="15.75" thickBot="1" x14ac:dyDescent="0.3">
      <c r="J17" s="35"/>
      <c r="K17" s="36" t="s">
        <v>35</v>
      </c>
      <c r="L17" s="12"/>
      <c r="M17" s="12"/>
      <c r="N17" s="12"/>
      <c r="O17" s="12"/>
      <c r="P17" s="12"/>
      <c r="Q17" s="12"/>
      <c r="R17" s="12"/>
      <c r="S17" s="12"/>
      <c r="T17" s="7"/>
    </row>
    <row r="18" spans="10:20" ht="15.75" thickBot="1" x14ac:dyDescent="0.3">
      <c r="J18" s="5"/>
      <c r="K18" s="37" t="s">
        <v>36</v>
      </c>
      <c r="L18" s="38"/>
      <c r="M18" s="38"/>
      <c r="N18" s="38"/>
      <c r="O18" s="38"/>
      <c r="P18" s="38"/>
      <c r="Q18" s="38"/>
      <c r="R18" s="38"/>
      <c r="S18" s="39"/>
      <c r="T18" s="7"/>
    </row>
    <row r="19" spans="10:20" x14ac:dyDescent="0.25">
      <c r="J19" s="5"/>
      <c r="K19" s="40"/>
      <c r="L19" s="41" t="s">
        <v>37</v>
      </c>
      <c r="M19" s="41"/>
      <c r="N19" s="42"/>
      <c r="O19" s="43" t="s">
        <v>38</v>
      </c>
      <c r="P19" s="76" t="s">
        <v>39</v>
      </c>
      <c r="Q19" s="44"/>
      <c r="R19" s="44" t="s">
        <v>13</v>
      </c>
      <c r="S19" s="45"/>
      <c r="T19" s="7"/>
    </row>
    <row r="20" spans="10:20" x14ac:dyDescent="0.25">
      <c r="J20" s="5"/>
      <c r="K20" s="13"/>
      <c r="L20" s="46" t="s">
        <v>40</v>
      </c>
      <c r="M20" s="46"/>
      <c r="N20" s="47"/>
      <c r="O20" s="48" t="s">
        <v>7</v>
      </c>
      <c r="P20" s="48">
        <v>5000</v>
      </c>
      <c r="Q20" s="49"/>
      <c r="R20" s="49" t="s">
        <v>13</v>
      </c>
      <c r="S20" s="50"/>
      <c r="T20" s="7"/>
    </row>
    <row r="21" spans="10:20" x14ac:dyDescent="0.25">
      <c r="J21" s="5"/>
      <c r="K21" s="13"/>
      <c r="L21" s="41" t="s">
        <v>41</v>
      </c>
      <c r="M21" s="41"/>
      <c r="N21" s="42"/>
      <c r="O21" s="43" t="s">
        <v>4</v>
      </c>
      <c r="P21" s="43">
        <v>1</v>
      </c>
      <c r="Q21" s="44"/>
      <c r="R21" s="44" t="s">
        <v>14</v>
      </c>
      <c r="S21" s="45"/>
      <c r="T21" s="7"/>
    </row>
    <row r="22" spans="10:20" x14ac:dyDescent="0.25">
      <c r="J22" s="5"/>
      <c r="K22" s="13"/>
      <c r="L22" s="46" t="s">
        <v>42</v>
      </c>
      <c r="M22" s="46"/>
      <c r="N22" s="47"/>
      <c r="O22" s="48" t="s">
        <v>5</v>
      </c>
      <c r="P22" s="51">
        <v>5.23599E+16</v>
      </c>
      <c r="Q22" s="49"/>
      <c r="R22" s="49" t="s">
        <v>43</v>
      </c>
      <c r="S22" s="50"/>
      <c r="T22" s="7"/>
    </row>
    <row r="23" spans="10:20" x14ac:dyDescent="0.25">
      <c r="J23" s="5"/>
      <c r="K23" s="13"/>
      <c r="L23" s="41" t="s">
        <v>44</v>
      </c>
      <c r="M23" s="41"/>
      <c r="N23" s="42"/>
      <c r="O23" s="43" t="s">
        <v>3</v>
      </c>
      <c r="P23" s="52">
        <v>5.23599E+16</v>
      </c>
      <c r="Q23" s="44"/>
      <c r="R23" s="44" t="s">
        <v>14</v>
      </c>
      <c r="S23" s="45"/>
      <c r="T23" s="7"/>
    </row>
    <row r="24" spans="10:20" x14ac:dyDescent="0.25">
      <c r="J24" s="5"/>
      <c r="K24" s="13"/>
      <c r="L24" s="46" t="s">
        <v>45</v>
      </c>
      <c r="M24" s="46"/>
      <c r="N24" s="47"/>
      <c r="O24" s="48" t="s">
        <v>8</v>
      </c>
      <c r="P24" s="48">
        <v>5000</v>
      </c>
      <c r="Q24" s="49"/>
      <c r="R24" s="49" t="s">
        <v>13</v>
      </c>
      <c r="S24" s="50"/>
      <c r="T24" s="7"/>
    </row>
    <row r="25" spans="10:20" x14ac:dyDescent="0.25">
      <c r="J25" s="5"/>
      <c r="K25" s="53"/>
      <c r="L25" s="41" t="s">
        <v>46</v>
      </c>
      <c r="M25" s="41"/>
      <c r="N25" s="42"/>
      <c r="O25" s="43" t="s">
        <v>9</v>
      </c>
      <c r="P25" s="43" t="s">
        <v>47</v>
      </c>
      <c r="Q25" s="44"/>
      <c r="R25" s="44" t="s">
        <v>10</v>
      </c>
      <c r="S25" s="45"/>
      <c r="T25" s="7"/>
    </row>
    <row r="26" spans="10:20" ht="15.75" thickBot="1" x14ac:dyDescent="0.3">
      <c r="J26" s="5"/>
      <c r="K26" s="53"/>
      <c r="L26" s="13"/>
      <c r="M26" s="13"/>
      <c r="N26" s="13"/>
      <c r="O26" s="13"/>
      <c r="P26" s="13"/>
      <c r="Q26" s="13"/>
      <c r="R26" s="13"/>
      <c r="S26" s="13"/>
      <c r="T26" s="7"/>
    </row>
    <row r="27" spans="10:20" ht="15.75" thickBot="1" x14ac:dyDescent="0.3">
      <c r="J27" s="5"/>
      <c r="K27" s="54" t="s">
        <v>48</v>
      </c>
      <c r="L27" s="55"/>
      <c r="M27" s="55"/>
      <c r="N27" s="55"/>
      <c r="O27" s="55"/>
      <c r="P27" s="55"/>
      <c r="Q27" s="55"/>
      <c r="R27" s="55"/>
      <c r="S27" s="56"/>
      <c r="T27" s="7"/>
    </row>
    <row r="28" spans="10:20" ht="15.75" thickTop="1" x14ac:dyDescent="0.25">
      <c r="J28" s="5"/>
      <c r="K28" s="57"/>
      <c r="L28" s="41" t="s">
        <v>37</v>
      </c>
      <c r="M28" s="41"/>
      <c r="N28" s="42"/>
      <c r="O28" s="43" t="s">
        <v>55</v>
      </c>
      <c r="P28" s="58" t="str">
        <f>CONCATENATE(E2," ",F2)</f>
        <v>-20000 10000</v>
      </c>
      <c r="Q28" s="44"/>
      <c r="R28" s="59" t="s">
        <v>13</v>
      </c>
      <c r="S28" s="45"/>
      <c r="T28" s="7"/>
    </row>
    <row r="29" spans="10:20" x14ac:dyDescent="0.25">
      <c r="J29" s="5"/>
      <c r="K29" s="13"/>
      <c r="L29" s="46" t="s">
        <v>40</v>
      </c>
      <c r="M29" s="46"/>
      <c r="N29" s="47"/>
      <c r="O29" s="48" t="s">
        <v>7</v>
      </c>
      <c r="P29" s="60">
        <v>3500</v>
      </c>
      <c r="Q29" s="49"/>
      <c r="R29" s="61" t="s">
        <v>13</v>
      </c>
      <c r="S29" s="50"/>
      <c r="T29" s="7"/>
    </row>
    <row r="30" spans="10:20" x14ac:dyDescent="0.25">
      <c r="J30" s="5"/>
      <c r="K30" s="13"/>
      <c r="L30" s="41" t="s">
        <v>41</v>
      </c>
      <c r="M30" s="41"/>
      <c r="N30" s="42"/>
      <c r="O30" s="43" t="s">
        <v>4</v>
      </c>
      <c r="P30" s="58">
        <v>1</v>
      </c>
      <c r="Q30" s="44"/>
      <c r="R30" s="59" t="s">
        <v>14</v>
      </c>
      <c r="S30" s="45"/>
      <c r="T30" s="7"/>
    </row>
    <row r="31" spans="10:20" x14ac:dyDescent="0.25">
      <c r="J31" s="5"/>
      <c r="K31" s="13"/>
      <c r="L31" s="46" t="s">
        <v>42</v>
      </c>
      <c r="M31" s="46"/>
      <c r="N31" s="47"/>
      <c r="O31" s="48" t="s">
        <v>5</v>
      </c>
      <c r="P31" s="62">
        <v>1.79594E+16</v>
      </c>
      <c r="Q31" s="49"/>
      <c r="R31" s="61" t="s">
        <v>43</v>
      </c>
      <c r="S31" s="50"/>
      <c r="T31" s="7"/>
    </row>
    <row r="32" spans="10:20" x14ac:dyDescent="0.25">
      <c r="J32" s="5"/>
      <c r="K32" s="13"/>
      <c r="L32" s="41" t="s">
        <v>44</v>
      </c>
      <c r="M32" s="41"/>
      <c r="N32" s="42"/>
      <c r="O32" s="43" t="s">
        <v>3</v>
      </c>
      <c r="P32" s="63">
        <v>1.79594E+16</v>
      </c>
      <c r="Q32" s="44"/>
      <c r="R32" s="59" t="s">
        <v>14</v>
      </c>
      <c r="S32" s="45"/>
      <c r="T32" s="7"/>
    </row>
    <row r="33" spans="10:20" x14ac:dyDescent="0.25">
      <c r="J33" s="5"/>
      <c r="K33" s="13"/>
      <c r="L33" s="46" t="s">
        <v>45</v>
      </c>
      <c r="M33" s="46"/>
      <c r="N33" s="47"/>
      <c r="O33" s="48" t="s">
        <v>8</v>
      </c>
      <c r="P33" s="60">
        <v>3500</v>
      </c>
      <c r="Q33" s="49"/>
      <c r="R33" s="61" t="s">
        <v>13</v>
      </c>
      <c r="S33" s="50"/>
      <c r="T33" s="7"/>
    </row>
    <row r="34" spans="10:20" x14ac:dyDescent="0.25">
      <c r="J34" s="5"/>
      <c r="K34" s="53"/>
      <c r="L34" s="41" t="s">
        <v>46</v>
      </c>
      <c r="M34" s="41"/>
      <c r="N34" s="42"/>
      <c r="O34" s="43" t="s">
        <v>9</v>
      </c>
      <c r="P34" s="58" t="s">
        <v>47</v>
      </c>
      <c r="Q34" s="44"/>
      <c r="R34" s="44" t="s">
        <v>10</v>
      </c>
      <c r="S34" s="45"/>
      <c r="T34" s="7"/>
    </row>
    <row r="35" spans="10:20" ht="15.75" thickBot="1" x14ac:dyDescent="0.3">
      <c r="J35" s="5"/>
      <c r="K35" s="13"/>
      <c r="L35" s="13"/>
      <c r="M35" s="13"/>
      <c r="N35" s="13"/>
      <c r="O35" s="13"/>
      <c r="P35" s="13"/>
      <c r="Q35" s="13"/>
      <c r="R35" s="13"/>
      <c r="S35" s="13"/>
      <c r="T35" s="7"/>
    </row>
    <row r="36" spans="10:20" ht="15.75" thickBot="1" x14ac:dyDescent="0.3">
      <c r="J36" s="5"/>
      <c r="K36" s="64" t="s">
        <v>49</v>
      </c>
      <c r="L36" s="65"/>
      <c r="M36" s="65"/>
      <c r="N36" s="65"/>
      <c r="O36" s="65"/>
      <c r="P36" s="65"/>
      <c r="Q36" s="65"/>
      <c r="R36" s="65"/>
      <c r="S36" s="66"/>
      <c r="T36" s="7"/>
    </row>
    <row r="37" spans="10:20" x14ac:dyDescent="0.25">
      <c r="J37" s="5"/>
      <c r="K37" s="40"/>
      <c r="L37" s="41" t="s">
        <v>37</v>
      </c>
      <c r="M37" s="41"/>
      <c r="N37" s="42"/>
      <c r="O37" s="43" t="s">
        <v>55</v>
      </c>
      <c r="P37" s="58" t="str">
        <f>CONCATENATE(H2," ",I2)</f>
        <v>-5000 -15000</v>
      </c>
      <c r="Q37" s="44"/>
      <c r="R37" s="59" t="s">
        <v>13</v>
      </c>
      <c r="S37" s="44"/>
      <c r="T37" s="7"/>
    </row>
    <row r="38" spans="10:20" x14ac:dyDescent="0.25">
      <c r="J38" s="5"/>
      <c r="K38" s="13"/>
      <c r="L38" s="46" t="s">
        <v>40</v>
      </c>
      <c r="M38" s="46"/>
      <c r="N38" s="47"/>
      <c r="O38" s="48" t="s">
        <v>7</v>
      </c>
      <c r="P38" s="60">
        <v>5000</v>
      </c>
      <c r="Q38" s="49"/>
      <c r="R38" s="61" t="s">
        <v>13</v>
      </c>
      <c r="S38" s="49"/>
      <c r="T38" s="7"/>
    </row>
    <row r="39" spans="10:20" x14ac:dyDescent="0.25">
      <c r="J39" s="5"/>
      <c r="K39" s="13"/>
      <c r="L39" s="41" t="s">
        <v>41</v>
      </c>
      <c r="M39" s="41"/>
      <c r="N39" s="42"/>
      <c r="O39" s="43" t="s">
        <v>4</v>
      </c>
      <c r="P39" s="58">
        <v>1</v>
      </c>
      <c r="Q39" s="44"/>
      <c r="R39" s="59" t="s">
        <v>14</v>
      </c>
      <c r="S39" s="44"/>
      <c r="T39" s="7"/>
    </row>
    <row r="40" spans="10:20" x14ac:dyDescent="0.25">
      <c r="J40" s="5"/>
      <c r="K40" s="13"/>
      <c r="L40" s="46" t="s">
        <v>42</v>
      </c>
      <c r="M40" s="46"/>
      <c r="N40" s="47"/>
      <c r="O40" s="48" t="s">
        <v>5</v>
      </c>
      <c r="P40" s="62">
        <v>5.23599E+16</v>
      </c>
      <c r="Q40" s="49"/>
      <c r="R40" s="61" t="s">
        <v>43</v>
      </c>
      <c r="S40" s="49"/>
      <c r="T40" s="7"/>
    </row>
    <row r="41" spans="10:20" x14ac:dyDescent="0.25">
      <c r="J41" s="5"/>
      <c r="K41" s="13"/>
      <c r="L41" s="41" t="s">
        <v>44</v>
      </c>
      <c r="M41" s="41"/>
      <c r="N41" s="42"/>
      <c r="O41" s="43" t="s">
        <v>3</v>
      </c>
      <c r="P41" s="63">
        <v>5.23599E+16</v>
      </c>
      <c r="Q41" s="44"/>
      <c r="R41" s="59" t="s">
        <v>14</v>
      </c>
      <c r="S41" s="44"/>
      <c r="T41" s="7"/>
    </row>
    <row r="42" spans="10:20" x14ac:dyDescent="0.25">
      <c r="J42" s="5"/>
      <c r="K42" s="13"/>
      <c r="L42" s="46" t="s">
        <v>45</v>
      </c>
      <c r="M42" s="46"/>
      <c r="N42" s="47"/>
      <c r="O42" s="48" t="s">
        <v>8</v>
      </c>
      <c r="P42" s="60">
        <v>5000</v>
      </c>
      <c r="Q42" s="49"/>
      <c r="R42" s="61" t="s">
        <v>13</v>
      </c>
      <c r="S42" s="49"/>
      <c r="T42" s="7"/>
    </row>
    <row r="43" spans="10:20" x14ac:dyDescent="0.25">
      <c r="J43" s="5"/>
      <c r="K43" s="53"/>
      <c r="L43" s="41" t="s">
        <v>46</v>
      </c>
      <c r="M43" s="41"/>
      <c r="N43" s="42"/>
      <c r="O43" s="43" t="s">
        <v>9</v>
      </c>
      <c r="P43" s="58" t="s">
        <v>47</v>
      </c>
      <c r="Q43" s="44"/>
      <c r="R43" s="44" t="s">
        <v>10</v>
      </c>
      <c r="S43" s="44"/>
      <c r="T43" s="7"/>
    </row>
    <row r="44" spans="10:20" x14ac:dyDescent="0.25">
      <c r="J44" s="67"/>
      <c r="K44" s="68"/>
      <c r="L44" s="68"/>
      <c r="M44" s="68"/>
      <c r="N44" s="68"/>
      <c r="O44" s="68"/>
      <c r="P44" s="68"/>
      <c r="Q44" s="68"/>
      <c r="R44" s="68"/>
      <c r="S44" s="68"/>
      <c r="T44" s="69"/>
    </row>
  </sheetData>
  <mergeCells count="1">
    <mergeCell ref="K2:S3"/>
  </mergeCells>
  <phoneticPr fontId="11" type="noConversion"/>
  <pageMargins left="0.7" right="0.7" top="0.75" bottom="0.75" header="0.3" footer="0.3"/>
  <pageSetup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Caculs</vt:lpstr>
      <vt:lpstr>Donnes et tableau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Joinvil Benjamin</dc:creator>
  <cp:lastModifiedBy>Benjamin Joinvil</cp:lastModifiedBy>
  <dcterms:created xsi:type="dcterms:W3CDTF">2022-11-29T14:59:34Z</dcterms:created>
  <dcterms:modified xsi:type="dcterms:W3CDTF">2022-12-13T17:36:59Z</dcterms:modified>
</cp:coreProperties>
</file>